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iskModel" sheetId="2" state="visible" r:id="rId4"/>
    <sheet name="CaseLog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<sst xmlns="http://schemas.openxmlformats.org/spreadsheetml/2006/main" count="112" uniqueCount="103">
  <si>
    <t xml:space="preserve">KYC / CDD Risk Rating Workbook (Simulation)</t>
  </si>
  <si>
    <t xml:space="preserve">Author</t>
  </si>
  <si>
    <t xml:space="preserve">Meenu, BBA LLB</t>
  </si>
  <si>
    <t xml:space="preserve">Purpose</t>
  </si>
  <si>
    <t xml:space="preserve">Companion to the written case pack. Shows how onboarding cases are scored, rated and decided.</t>
  </si>
  <si>
    <t xml:space="preserve">Status</t>
  </si>
  <si>
    <t xml:space="preserve">Educational simulation. All customers, companies and figures are fictional. Not real work experience.</t>
  </si>
  <si>
    <t xml:space="preserve">Legal basis</t>
  </si>
  <si>
    <t xml:space="preserve">PMLA 2002 and PML Rules; RBI KYC Master Direction; FIU-IND STR guidance. Check current versions before relying on them.</t>
  </si>
  <si>
    <t xml:space="preserve">How to use</t>
  </si>
  <si>
    <t xml:space="preserve">1</t>
  </si>
  <si>
    <t xml:space="preserve">Go to CaseLog. Blue cells (scores 1 to 3, Override, Decision text) are inputs you edit.</t>
  </si>
  <si>
    <t xml:space="preserve">2</t>
  </si>
  <si>
    <t xml:space="preserve">Black cells (Total, Rating, Escalation) are formulas. They recalculate automatically.</t>
  </si>
  <si>
    <t xml:space="preserve">3</t>
  </si>
  <si>
    <t xml:space="preserve">Thresholds and the rating bands live on RiskModel. Change them there, not in CaseLog.</t>
  </si>
  <si>
    <t xml:space="preserve">4</t>
  </si>
  <si>
    <t xml:space="preserve">Summary counts the cases by rating and shows how many need escalation.</t>
  </si>
  <si>
    <t xml:space="preserve">Assumption</t>
  </si>
  <si>
    <t xml:space="preserve">The 1 to 3 scoring and the band cut-offs are my own simplified teaching model, not a regulator formula.</t>
  </si>
  <si>
    <t xml:space="preserve">Risk Scoring Model</t>
  </si>
  <si>
    <t xml:space="preserve">Factor</t>
  </si>
  <si>
    <t xml:space="preserve">1 = Low</t>
  </si>
  <si>
    <t xml:space="preserve">2 = Medium</t>
  </si>
  <si>
    <t xml:space="preserve">3 = High</t>
  </si>
  <si>
    <t xml:space="preserve">Customer type</t>
  </si>
  <si>
    <t xml:space="preserve">Salaried individual</t>
  </si>
  <si>
    <t xml:space="preserve">Small business / partnership</t>
  </si>
  <si>
    <t xml:space="preserve">Complex entity, trust, shell-like</t>
  </si>
  <si>
    <t xml:space="preserve">Ownership clarity</t>
  </si>
  <si>
    <t xml:space="preserve">Clear</t>
  </si>
  <si>
    <t xml:space="preserve">Partly layered</t>
  </si>
  <si>
    <t xml:space="preserve">Multiple layers or offshore holding</t>
  </si>
  <si>
    <t xml:space="preserve">Geography</t>
  </si>
  <si>
    <t xml:space="preserve">India, low-risk links</t>
  </si>
  <si>
    <t xml:space="preserve">Some cross-border links</t>
  </si>
  <si>
    <t xml:space="preserve">High-risk or secrecy jurisdictions</t>
  </si>
  <si>
    <t xml:space="preserve">PEP exposure</t>
  </si>
  <si>
    <t xml:space="preserve">None</t>
  </si>
  <si>
    <t xml:space="preserve">Distant link</t>
  </si>
  <si>
    <t xml:space="preserve">Direct PEP or PEP as BO</t>
  </si>
  <si>
    <t xml:space="preserve">Product / channel</t>
  </si>
  <si>
    <t xml:space="preserve">Savings, face to face</t>
  </si>
  <si>
    <t xml:space="preserve">Current account</t>
  </si>
  <si>
    <t xml:space="preserve">Cash-heavy, non-face-to-face, trade</t>
  </si>
  <si>
    <t xml:space="preserve">Expected vs actual activity</t>
  </si>
  <si>
    <t xml:space="preserve">Matches</t>
  </si>
  <si>
    <t xml:space="preserve">Slight gap</t>
  </si>
  <si>
    <t xml:space="preserve">Large unexplained gap</t>
  </si>
  <si>
    <t xml:space="preserve">Rating bands</t>
  </si>
  <si>
    <t xml:space="preserve">Medium starts at (total)</t>
  </si>
  <si>
    <t xml:space="preserve">High starts at (total)</t>
  </si>
  <si>
    <t xml:space="preserve">Override rule</t>
  </si>
  <si>
    <t xml:space="preserve">A confirmed PEP, or ownership that cannot be explained, is rated High whatever the total.</t>
  </si>
  <si>
    <t xml:space="preserve">Note: bands are my own simplified model for this exercise. Real institutions use board-approved risk policies.</t>
  </si>
  <si>
    <t xml:space="preserve">Case Log</t>
  </si>
  <si>
    <t xml:space="preserve">Case ID</t>
  </si>
  <si>
    <t xml:space="preserve">Customer (fictional)</t>
  </si>
  <si>
    <t xml:space="preserve">Product</t>
  </si>
  <si>
    <t xml:space="preserve">Cust. type</t>
  </si>
  <si>
    <t xml:space="preserve">Ownership</t>
  </si>
  <si>
    <t xml:space="preserve">PEP</t>
  </si>
  <si>
    <t xml:space="preserve">Exp. vs actual</t>
  </si>
  <si>
    <t xml:space="preserve">Total score</t>
  </si>
  <si>
    <t xml:space="preserve">Override (Y/N)</t>
  </si>
  <si>
    <t xml:space="preserve">Rating</t>
  </si>
  <si>
    <t xml:space="preserve">Escalation</t>
  </si>
  <si>
    <t xml:space="preserve">Decision</t>
  </si>
  <si>
    <t xml:space="preserve">Reason</t>
  </si>
  <si>
    <t xml:space="preserve">KYC-001</t>
  </si>
  <si>
    <t xml:space="preserve">Anitha Joseph</t>
  </si>
  <si>
    <t xml:space="preserve">Individual</t>
  </si>
  <si>
    <t xml:space="preserve">Salary savings account</t>
  </si>
  <si>
    <t xml:space="preserve">N</t>
  </si>
  <si>
    <t xml:space="preserve">Approve</t>
  </si>
  <si>
    <t xml:space="preserve">Identity and PAN verified. Aadhaar address differs from rented address; fixed with rental agreement and utility bill. No screening hits.</t>
  </si>
  <si>
    <t xml:space="preserve">KYC-002</t>
  </si>
  <si>
    <t xml:space="preserve">Meridian Spice Exports Pvt Ltd</t>
  </si>
  <si>
    <t xml:space="preserve">Private company</t>
  </si>
  <si>
    <t xml:space="preserve">Y</t>
  </si>
  <si>
    <t xml:space="preserve">Hold. EDD required. Escalate for STR decision</t>
  </si>
  <si>
    <t xml:space="preserve">60% held through two foreign layers by a PEP-linked individual who was not disclosed. Activity about 8x expected profile, cash split across branches, quick transfers to overseas parent.</t>
  </si>
  <si>
    <t xml:space="preserve">KYC-003</t>
  </si>
  <si>
    <t xml:space="preserve">Kovai Textile Traders</t>
  </si>
  <si>
    <t xml:space="preserve">Partnership firm</t>
  </si>
  <si>
    <t xml:space="preserve">Hold pending documents. Supervisor review</t>
  </si>
  <si>
    <t xml:space="preserve">Two partners declared, but a third person signs cheques with no partner status. Turnover estimate not supported by GST returns yet. Request partnership deed, GST returns, signatory authority.</t>
  </si>
  <si>
    <t xml:space="preserve">KYC-004</t>
  </si>
  <si>
    <t xml:space="preserve">R. Kumar</t>
  </si>
  <si>
    <t xml:space="preserve">Savings account</t>
  </si>
  <si>
    <t xml:space="preserve">Approve after false positive cleared</t>
  </si>
  <si>
    <t xml:space="preserve">Partial name match on a sanctions list. Date of birth, father's name and ID number do not match. Documented as false positive with screenshots of the comparison.</t>
  </si>
  <si>
    <t xml:space="preserve">Legend: blue = input you can edit; black = formula. Scores 1 to 3 per RiskModel. All customers are fictional.</t>
  </si>
  <si>
    <t xml:space="preserve">Portfolio Summary</t>
  </si>
  <si>
    <t xml:space="preserve">Cases</t>
  </si>
  <si>
    <t xml:space="preserve">Low</t>
  </si>
  <si>
    <t xml:space="preserve">Medium</t>
  </si>
  <si>
    <t xml:space="preserve">High</t>
  </si>
  <si>
    <t xml:space="preserve">Total cases</t>
  </si>
  <si>
    <t xml:space="preserve">Escalated to Principal Officer</t>
  </si>
  <si>
    <t xml:space="preserve">Average total score</t>
  </si>
  <si>
    <t xml:space="preserve">Share rated High</t>
  </si>
  <si>
    <t xml:space="preserve">Four fictional cases only. These figures show how the workbook calculates, not real portfolio data.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</si>
</sst>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Cases by risk rating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Summary!B3</c:f>
              <c:strCache>
                <c:ptCount val="1"/>
                <c:pt idx="0">
                  <c:v>Cases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Summary!$B$4:$B$6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gapWidth val="150"/>
        <c:overlap val="0"/>
        <c:axId val="34952902"/>
        <c:axId val="46283672"/>
      </c:barChart>
      <c:catAx>
        <c:axId val="349529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83672"/>
        <c:crosses val="autoZero"/>
        <c:auto val="1"/>
        <c:lblAlgn val="ctr"/>
        <c:lblOffset val="100"/>
        <c:noMultiLvlLbl val="0"/>
      </c:catAx>
      <c:valAx>
        <c:axId val="462836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9529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10</xdr:col>
      <xdr:colOff>39240</xdr:colOff>
      <xdr:row>15</xdr:row>
      <xdr:rowOff>13320</xdr:rowOff>
    </xdr:to>
    <xdr:graphicFrame>
      <xdr:nvGraphicFramePr>
        <xdr:cNvPr id="0" name="Chart 1"/>
        <xdr:cNvGraphicFramePr/>
      </xdr:nvGraphicFramePr>
      <xdr:xfrm>
        <a:off x="3853800" y="3808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23.8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/>
      <c r="B7" s="3"/>
    </row>
    <row r="8" customFormat="false" ht="15" hidden="false" customHeight="false" outlineLevel="0" collapsed="false">
      <c r="A8" s="2" t="s">
        <v>9</v>
      </c>
      <c r="B8" s="3"/>
    </row>
    <row r="9" customFormat="false" ht="15" hidden="false" customHeight="false" outlineLevel="0" collapsed="false">
      <c r="A9" s="2" t="s">
        <v>10</v>
      </c>
      <c r="B9" s="3" t="s">
        <v>11</v>
      </c>
    </row>
    <row r="10" customFormat="false" ht="15" hidden="false" customHeight="false" outlineLevel="0" collapsed="false">
      <c r="A10" s="2" t="s">
        <v>12</v>
      </c>
      <c r="B10" s="3" t="s">
        <v>13</v>
      </c>
    </row>
    <row r="11" customFormat="false" ht="15" hidden="false" customHeight="false" outlineLevel="0" collapsed="false">
      <c r="A11" s="2" t="s">
        <v>14</v>
      </c>
      <c r="B11" s="3" t="s">
        <v>15</v>
      </c>
    </row>
    <row r="12" customFormat="false" ht="15" hidden="false" customHeight="false" outlineLevel="0" collapsed="false">
      <c r="A12" s="2" t="s">
        <v>16</v>
      </c>
      <c r="B12" s="3" t="s">
        <v>17</v>
      </c>
    </row>
    <row r="13" customFormat="false" ht="15" hidden="false" customHeight="false" outlineLevel="0" collapsed="false">
      <c r="A13" s="2"/>
      <c r="B13" s="3"/>
    </row>
    <row r="14" customFormat="false" ht="15" hidden="false" customHeight="false" outlineLevel="0" collapsed="false">
      <c r="A14" s="2" t="s">
        <v>18</v>
      </c>
      <c r="B14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30"/>
    <col collapsed="false" customWidth="true" hidden="false" outlineLevel="0" max="4" min="4" style="0" width="38"/>
  </cols>
  <sheetData>
    <row r="1" customFormat="false" ht="17.35" hidden="false" customHeight="false" outlineLevel="0" collapsed="false">
      <c r="A1" s="1" t="s">
        <v>20</v>
      </c>
    </row>
    <row r="3" customFormat="false" ht="15" hidden="false" customHeight="false" outlineLevel="0" collapsed="false">
      <c r="A3" s="4" t="s">
        <v>21</v>
      </c>
      <c r="B3" s="4" t="s">
        <v>22</v>
      </c>
      <c r="C3" s="4" t="s">
        <v>23</v>
      </c>
      <c r="D3" s="4" t="s">
        <v>24</v>
      </c>
    </row>
    <row r="4" customFormat="false" ht="15" hidden="false" customHeight="false" outlineLevel="0" collapsed="false">
      <c r="A4" s="5" t="s">
        <v>25</v>
      </c>
      <c r="B4" s="6" t="s">
        <v>26</v>
      </c>
      <c r="C4" s="6" t="s">
        <v>27</v>
      </c>
      <c r="D4" s="6" t="s">
        <v>28</v>
      </c>
    </row>
    <row r="5" customFormat="false" ht="15" hidden="false" customHeight="false" outlineLevel="0" collapsed="false">
      <c r="A5" s="5" t="s">
        <v>29</v>
      </c>
      <c r="B5" s="6" t="s">
        <v>30</v>
      </c>
      <c r="C5" s="6" t="s">
        <v>31</v>
      </c>
      <c r="D5" s="6" t="s">
        <v>32</v>
      </c>
    </row>
    <row r="6" customFormat="false" ht="15" hidden="false" customHeight="false" outlineLevel="0" collapsed="false">
      <c r="A6" s="5" t="s">
        <v>33</v>
      </c>
      <c r="B6" s="6" t="s">
        <v>34</v>
      </c>
      <c r="C6" s="6" t="s">
        <v>35</v>
      </c>
      <c r="D6" s="6" t="s">
        <v>36</v>
      </c>
    </row>
    <row r="7" customFormat="false" ht="15" hidden="false" customHeight="false" outlineLevel="0" collapsed="false">
      <c r="A7" s="5" t="s">
        <v>37</v>
      </c>
      <c r="B7" s="6" t="s">
        <v>38</v>
      </c>
      <c r="C7" s="6" t="s">
        <v>39</v>
      </c>
      <c r="D7" s="6" t="s">
        <v>40</v>
      </c>
    </row>
    <row r="8" customFormat="false" ht="15" hidden="false" customHeight="false" outlineLevel="0" collapsed="false">
      <c r="A8" s="5" t="s">
        <v>41</v>
      </c>
      <c r="B8" s="6" t="s">
        <v>42</v>
      </c>
      <c r="C8" s="6" t="s">
        <v>43</v>
      </c>
      <c r="D8" s="6" t="s">
        <v>44</v>
      </c>
    </row>
    <row r="9" customFormat="false" ht="15" hidden="false" customHeight="false" outlineLevel="0" collapsed="false">
      <c r="A9" s="5" t="s">
        <v>45</v>
      </c>
      <c r="B9" s="6" t="s">
        <v>46</v>
      </c>
      <c r="C9" s="6" t="s">
        <v>47</v>
      </c>
      <c r="D9" s="6" t="s">
        <v>48</v>
      </c>
    </row>
    <row r="12" customFormat="false" ht="15" hidden="false" customHeight="false" outlineLevel="0" collapsed="false">
      <c r="A12" s="2" t="s">
        <v>49</v>
      </c>
    </row>
    <row r="13" customFormat="false" ht="15" hidden="false" customHeight="false" outlineLevel="0" collapsed="false">
      <c r="A13" s="7" t="s">
        <v>50</v>
      </c>
      <c r="B13" s="8" t="n">
        <v>10</v>
      </c>
    </row>
    <row r="14" customFormat="false" ht="15" hidden="false" customHeight="false" outlineLevel="0" collapsed="false">
      <c r="A14" s="7" t="s">
        <v>51</v>
      </c>
      <c r="B14" s="8" t="n">
        <v>14</v>
      </c>
    </row>
    <row r="15" customFormat="false" ht="15" hidden="false" customHeight="false" outlineLevel="0" collapsed="false">
      <c r="A15" s="7" t="s">
        <v>52</v>
      </c>
      <c r="B15" s="7" t="s">
        <v>53</v>
      </c>
    </row>
    <row r="17" customFormat="false" ht="15" hidden="false" customHeight="false" outlineLevel="0" collapsed="false">
      <c r="A17" s="9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1" min="11" style="0" width="9"/>
    <col collapsed="false" customWidth="true" hidden="false" outlineLevel="0" max="13" min="12" style="0" width="10"/>
    <col collapsed="false" customWidth="true" hidden="false" outlineLevel="0" max="14" min="14" style="0" width="17"/>
    <col collapsed="false" customWidth="true" hidden="false" outlineLevel="0" max="15" min="15" style="0" width="30"/>
    <col collapsed="false" customWidth="true" hidden="false" outlineLevel="0" max="16" min="16" style="0" width="70"/>
  </cols>
  <sheetData>
    <row r="1" customFormat="false" ht="17.35" hidden="false" customHeight="false" outlineLevel="0" collapsed="false">
      <c r="A1" s="1" t="s">
        <v>55</v>
      </c>
    </row>
    <row r="3" customFormat="false" ht="23.85" hidden="false" customHeight="false" outlineLevel="0" collapsed="false">
      <c r="A3" s="4" t="s">
        <v>56</v>
      </c>
      <c r="B3" s="4" t="s">
        <v>57</v>
      </c>
      <c r="C3" s="4" t="s">
        <v>25</v>
      </c>
      <c r="D3" s="4" t="s">
        <v>58</v>
      </c>
      <c r="E3" s="4" t="s">
        <v>59</v>
      </c>
      <c r="F3" s="4" t="s">
        <v>60</v>
      </c>
      <c r="G3" s="4" t="s">
        <v>33</v>
      </c>
      <c r="H3" s="4" t="s">
        <v>61</v>
      </c>
      <c r="I3" s="4" t="s">
        <v>41</v>
      </c>
      <c r="J3" s="4" t="s">
        <v>62</v>
      </c>
      <c r="K3" s="4" t="s">
        <v>63</v>
      </c>
      <c r="L3" s="4" t="s">
        <v>64</v>
      </c>
      <c r="M3" s="4" t="s">
        <v>65</v>
      </c>
      <c r="N3" s="4" t="s">
        <v>66</v>
      </c>
      <c r="O3" s="4" t="s">
        <v>67</v>
      </c>
      <c r="P3" s="4" t="s">
        <v>68</v>
      </c>
    </row>
    <row r="4" customFormat="false" ht="75" hidden="false" customHeight="true" outlineLevel="0" collapsed="false">
      <c r="A4" s="10" t="s">
        <v>69</v>
      </c>
      <c r="B4" s="6" t="s">
        <v>70</v>
      </c>
      <c r="C4" s="6" t="s">
        <v>71</v>
      </c>
      <c r="D4" s="6" t="s">
        <v>72</v>
      </c>
      <c r="E4" s="11" t="n">
        <v>1</v>
      </c>
      <c r="F4" s="11" t="n">
        <v>1</v>
      </c>
      <c r="G4" s="11" t="n">
        <v>1</v>
      </c>
      <c r="H4" s="11" t="n">
        <v>1</v>
      </c>
      <c r="I4" s="11" t="n">
        <v>1</v>
      </c>
      <c r="J4" s="11" t="n">
        <v>1</v>
      </c>
      <c r="K4" s="10" t="n">
        <f aca="false">SUM(E4:J4)</f>
        <v>6</v>
      </c>
      <c r="L4" s="11" t="s">
        <v>73</v>
      </c>
      <c r="M4" s="10" t="str">
        <f aca="false">IF(L4="Y","High",IF(K4&gt;=RiskModel!$B$14,"High",IF(K4&gt;=RiskModel!$B$13,"Medium","Low")))</f>
        <v>Low</v>
      </c>
      <c r="N4" s="10" t="str">
        <f aca="false">IF(M4="High","Principal Officer",IF(M4="Medium","Supervisor","None"))</f>
        <v>None</v>
      </c>
      <c r="O4" s="12" t="s">
        <v>74</v>
      </c>
      <c r="P4" s="12" t="s">
        <v>75</v>
      </c>
    </row>
    <row r="5" customFormat="false" ht="75" hidden="false" customHeight="true" outlineLevel="0" collapsed="false">
      <c r="A5" s="10" t="s">
        <v>76</v>
      </c>
      <c r="B5" s="6" t="s">
        <v>77</v>
      </c>
      <c r="C5" s="6" t="s">
        <v>78</v>
      </c>
      <c r="D5" s="6" t="s">
        <v>43</v>
      </c>
      <c r="E5" s="11" t="n">
        <v>3</v>
      </c>
      <c r="F5" s="11" t="n">
        <v>3</v>
      </c>
      <c r="G5" s="11" t="n">
        <v>2</v>
      </c>
      <c r="H5" s="11" t="n">
        <v>3</v>
      </c>
      <c r="I5" s="11" t="n">
        <v>3</v>
      </c>
      <c r="J5" s="11" t="n">
        <v>3</v>
      </c>
      <c r="K5" s="10" t="n">
        <f aca="false">SUM(E5:J5)</f>
        <v>17</v>
      </c>
      <c r="L5" s="11" t="s">
        <v>79</v>
      </c>
      <c r="M5" s="10" t="str">
        <f aca="false">IF(L5="Y","High",IF(K5&gt;=RiskModel!$B$14,"High",IF(K5&gt;=RiskModel!$B$13,"Medium","Low")))</f>
        <v>High</v>
      </c>
      <c r="N5" s="10" t="str">
        <f aca="false">IF(M5="High","Principal Officer",IF(M5="Medium","Supervisor","None"))</f>
        <v>Principal Officer</v>
      </c>
      <c r="O5" s="12" t="s">
        <v>80</v>
      </c>
      <c r="P5" s="12" t="s">
        <v>81</v>
      </c>
    </row>
    <row r="6" customFormat="false" ht="75" hidden="false" customHeight="true" outlineLevel="0" collapsed="false">
      <c r="A6" s="10" t="s">
        <v>82</v>
      </c>
      <c r="B6" s="6" t="s">
        <v>83</v>
      </c>
      <c r="C6" s="6" t="s">
        <v>84</v>
      </c>
      <c r="D6" s="6" t="s">
        <v>43</v>
      </c>
      <c r="E6" s="11" t="n">
        <v>2</v>
      </c>
      <c r="F6" s="11" t="n">
        <v>2</v>
      </c>
      <c r="G6" s="11" t="n">
        <v>1</v>
      </c>
      <c r="H6" s="11" t="n">
        <v>1</v>
      </c>
      <c r="I6" s="11" t="n">
        <v>2</v>
      </c>
      <c r="J6" s="11" t="n">
        <v>2</v>
      </c>
      <c r="K6" s="10" t="n">
        <f aca="false">SUM(E6:J6)</f>
        <v>10</v>
      </c>
      <c r="L6" s="11" t="s">
        <v>73</v>
      </c>
      <c r="M6" s="10" t="str">
        <f aca="false">IF(L6="Y","High",IF(K6&gt;=RiskModel!$B$14,"High",IF(K6&gt;=RiskModel!$B$13,"Medium","Low")))</f>
        <v>Medium</v>
      </c>
      <c r="N6" s="10" t="str">
        <f aca="false">IF(M6="High","Principal Officer",IF(M6="Medium","Supervisor","None"))</f>
        <v>Supervisor</v>
      </c>
      <c r="O6" s="12" t="s">
        <v>85</v>
      </c>
      <c r="P6" s="12" t="s">
        <v>86</v>
      </c>
    </row>
    <row r="7" customFormat="false" ht="75" hidden="false" customHeight="true" outlineLevel="0" collapsed="false">
      <c r="A7" s="10" t="s">
        <v>87</v>
      </c>
      <c r="B7" s="6" t="s">
        <v>88</v>
      </c>
      <c r="C7" s="6" t="s">
        <v>71</v>
      </c>
      <c r="D7" s="6" t="s">
        <v>89</v>
      </c>
      <c r="E7" s="11" t="n">
        <v>1</v>
      </c>
      <c r="F7" s="11" t="n">
        <v>1</v>
      </c>
      <c r="G7" s="11" t="n">
        <v>1</v>
      </c>
      <c r="H7" s="11" t="n">
        <v>1</v>
      </c>
      <c r="I7" s="11" t="n">
        <v>1</v>
      </c>
      <c r="J7" s="11" t="n">
        <v>1</v>
      </c>
      <c r="K7" s="10" t="n">
        <f aca="false">SUM(E7:J7)</f>
        <v>6</v>
      </c>
      <c r="L7" s="11" t="s">
        <v>73</v>
      </c>
      <c r="M7" s="10" t="str">
        <f aca="false">IF(L7="Y","High",IF(K7&gt;=RiskModel!$B$14,"High",IF(K7&gt;=RiskModel!$B$13,"Medium","Low")))</f>
        <v>Low</v>
      </c>
      <c r="N7" s="10" t="str">
        <f aca="false">IF(M7="High","Principal Officer",IF(M7="Medium","Supervisor","None"))</f>
        <v>None</v>
      </c>
      <c r="O7" s="12" t="s">
        <v>90</v>
      </c>
      <c r="P7" s="12" t="s">
        <v>91</v>
      </c>
    </row>
    <row r="9" customFormat="false" ht="15" hidden="false" customHeight="false" outlineLevel="0" collapsed="false">
      <c r="A9" s="9" t="s">
        <v>92</v>
      </c>
    </row>
  </sheetData>
  <dataValidations count="2">
    <dataValidation allowBlank="false" errorStyle="stop" operator="between" showDropDown="false" showErrorMessage="false" showInputMessage="false" sqref="L4:L40" type="list">
      <formula1>"Y,N"</formula1>
      <formula2>0</formula2>
    </dataValidation>
    <dataValidation allowBlank="false" errorStyle="stop" operator="between" showDropDown="false" showErrorMessage="false" showInputMessage="false" sqref="E4:J40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93</v>
      </c>
    </row>
    <row r="3" customFormat="false" ht="15" hidden="false" customHeight="false" outlineLevel="0" collapsed="false">
      <c r="A3" s="4" t="s">
        <v>65</v>
      </c>
      <c r="B3" s="4" t="s">
        <v>94</v>
      </c>
    </row>
    <row r="4" customFormat="false" ht="15" hidden="false" customHeight="false" outlineLevel="0" collapsed="false">
      <c r="A4" s="13" t="s">
        <v>95</v>
      </c>
      <c r="B4" s="13" t="n">
        <f aca="false">COUNTIF(CaseLog!$M$4:$M$40,A4)</f>
        <v>2</v>
      </c>
    </row>
    <row r="5" customFormat="false" ht="15" hidden="false" customHeight="false" outlineLevel="0" collapsed="false">
      <c r="A5" s="13" t="s">
        <v>96</v>
      </c>
      <c r="B5" s="13" t="n">
        <f aca="false">COUNTIF(CaseLog!$M$4:$M$40,A5)</f>
        <v>1</v>
      </c>
    </row>
    <row r="6" customFormat="false" ht="15" hidden="false" customHeight="false" outlineLevel="0" collapsed="false">
      <c r="A6" s="13" t="s">
        <v>97</v>
      </c>
      <c r="B6" s="13" t="n">
        <f aca="false">COUNTIF(CaseLog!$M$4:$M$40,A6)</f>
        <v>1</v>
      </c>
    </row>
    <row r="7" customFormat="false" ht="15" hidden="false" customHeight="false" outlineLevel="0" collapsed="false">
      <c r="A7" s="2" t="s">
        <v>98</v>
      </c>
      <c r="B7" s="7" t="n">
        <f aca="false">SUM(B4:B6)</f>
        <v>4</v>
      </c>
    </row>
    <row r="8" customFormat="false" ht="15" hidden="false" customHeight="false" outlineLevel="0" collapsed="false">
      <c r="A8" s="2" t="s">
        <v>99</v>
      </c>
      <c r="B8" s="7" t="n">
        <f aca="false">COUNTIF(CaseLog!$N$4:$N$40,"Principal Officer")</f>
        <v>1</v>
      </c>
    </row>
    <row r="9" customFormat="false" ht="15" hidden="false" customHeight="false" outlineLevel="0" collapsed="false">
      <c r="A9" s="2" t="s">
        <v>100</v>
      </c>
      <c r="B9" s="14" t="n">
        <f aca="false">IF(B7=0,0,AVERAGE(CaseLog!$K$4:$K$40))</f>
        <v>9.75</v>
      </c>
    </row>
    <row r="10" customFormat="false" ht="15" hidden="false" customHeight="false" outlineLevel="0" collapsed="false">
      <c r="A10" s="2" t="s">
        <v>101</v>
      </c>
      <c r="B10" s="15" t="n">
        <f aca="false">IF(B7=0,0,B6/B7)</f>
        <v>0.25</v>
      </c>
    </row>
    <row r="12" customFormat="false" ht="15" hidden="false" customHeight="false" outlineLevel="0" collapsed="false">
      <c r="A12" s="9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2026-10-28T11:27:39Z</dcterms:created>
  <dc:creator>openpyxl</dc:creator>
  <dc:description/>
  <dc:language>en-US</dc:language>
  <cp:lastModifiedBy/>
  <dcterms:modified xsi:type="dcterms:W3CDTF">2026-10-28T11:27:42Z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